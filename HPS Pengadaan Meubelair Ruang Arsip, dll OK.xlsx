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ON TAHUN 2026\FUNGSIONAL\BELANA MODAL ABT 2026\3. PENGADAAN PERALATAN RUMAH TANGGA\3. Meubaelai Ruang Tunggu dan Arsip\"/>
    </mc:Choice>
  </mc:AlternateContent>
  <xr:revisionPtr revIDLastSave="0" documentId="13_ncr:1_{7E3F82B8-FC19-4B39-AFE6-82F893FA8DA0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HPS" sheetId="2" r:id="rId1"/>
  </sheets>
  <definedNames>
    <definedName name="_xlnm.Print_Area" localSheetId="0">HPS!$A$1:$H$78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5" i="2" l="1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18" i="2"/>
  <c r="L61" i="2"/>
  <c r="M61" i="2" s="1"/>
  <c r="L60" i="2"/>
  <c r="M60" i="2" s="1"/>
  <c r="L59" i="2"/>
  <c r="M59" i="2" s="1"/>
  <c r="L58" i="2"/>
  <c r="L57" i="2"/>
  <c r="L56" i="2"/>
  <c r="M56" i="2" s="1"/>
  <c r="L55" i="2"/>
  <c r="M55" i="2" s="1"/>
  <c r="L54" i="2"/>
  <c r="L53" i="2"/>
  <c r="M53" i="2" s="1"/>
  <c r="L52" i="2"/>
  <c r="M52" i="2" s="1"/>
  <c r="L51" i="2"/>
  <c r="L50" i="2"/>
  <c r="L49" i="2"/>
  <c r="L48" i="2"/>
  <c r="L47" i="2"/>
  <c r="L46" i="2"/>
  <c r="L45" i="2"/>
  <c r="M45" i="2" s="1"/>
  <c r="L44" i="2"/>
  <c r="M44" i="2" s="1"/>
  <c r="L43" i="2"/>
  <c r="M43" i="2" s="1"/>
  <c r="L42" i="2"/>
  <c r="L41" i="2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L26" i="2"/>
  <c r="L25" i="2"/>
  <c r="L24" i="2"/>
  <c r="L23" i="2"/>
  <c r="L22" i="2"/>
  <c r="M22" i="2" s="1"/>
  <c r="L21" i="2"/>
  <c r="M21" i="2" s="1"/>
  <c r="G61" i="2" s="1"/>
  <c r="L18" i="2"/>
  <c r="M18" i="2" s="1"/>
  <c r="M57" i="2"/>
  <c r="M47" i="2"/>
  <c r="M46" i="2"/>
  <c r="M23" i="2"/>
  <c r="M58" i="2"/>
  <c r="M50" i="2"/>
  <c r="M49" i="2"/>
  <c r="M48" i="2"/>
  <c r="M42" i="2"/>
  <c r="M41" i="2"/>
  <c r="M34" i="2"/>
  <c r="M26" i="2"/>
  <c r="M25" i="2"/>
  <c r="M24" i="2"/>
  <c r="M27" i="2"/>
  <c r="M51" i="2"/>
  <c r="M54" i="2"/>
  <c r="L62" i="2"/>
  <c r="H61" i="2" l="1"/>
  <c r="H55" i="2"/>
  <c r="H50" i="2"/>
  <c r="H48" i="2"/>
  <c r="H46" i="2"/>
  <c r="H44" i="2"/>
  <c r="H41" i="2"/>
  <c r="H38" i="2"/>
  <c r="H32" i="2"/>
  <c r="H30" i="2"/>
  <c r="H28" i="2"/>
  <c r="H25" i="2"/>
  <c r="H23" i="2"/>
  <c r="H21" i="2"/>
  <c r="H18" i="2" l="1"/>
  <c r="G58" i="2"/>
  <c r="H58" i="2" s="1"/>
  <c r="H63" i="2" l="1"/>
  <c r="H64" i="2" s="1"/>
  <c r="H65" i="2" s="1"/>
</calcChain>
</file>

<file path=xl/sharedStrings.xml><?xml version="1.0" encoding="utf-8"?>
<sst xmlns="http://schemas.openxmlformats.org/spreadsheetml/2006/main" count="118" uniqueCount="93">
  <si>
    <t>Program</t>
  </si>
  <si>
    <t>Kegiatan</t>
  </si>
  <si>
    <t>Akun</t>
  </si>
  <si>
    <t>Pekerjaan</t>
  </si>
  <si>
    <t>Lokasi</t>
  </si>
  <si>
    <t>: Istana Kepresidenan Yogyakarta</t>
  </si>
  <si>
    <t>No</t>
  </si>
  <si>
    <t>Uraian</t>
  </si>
  <si>
    <t>Volume</t>
  </si>
  <si>
    <t>Harga Satuan</t>
  </si>
  <si>
    <t>Jumlah</t>
  </si>
  <si>
    <t>Jumlah Harga</t>
  </si>
  <si>
    <t>PPN 11 %</t>
  </si>
  <si>
    <t>: 2026</t>
  </si>
  <si>
    <t>: Belanja Modal Peralatan dan Mesin</t>
  </si>
  <si>
    <t>Terdiri dari:</t>
  </si>
  <si>
    <t xml:space="preserve">   Type: Attha 2  Seater</t>
  </si>
  <si>
    <t>- Meja (Handmade) dengan rak bawah</t>
  </si>
  <si>
    <t xml:space="preserve">   Uk: 110(P) x 60 (L) x 45 (T),cm</t>
  </si>
  <si>
    <t xml:space="preserve">   Uk: 152(P) x 60 (L) x 78 (T), cm</t>
  </si>
  <si>
    <t>Counter Bentuk L (Handmade)</t>
  </si>
  <si>
    <t>Uk: 200/100x100x75/100-115 cm</t>
  </si>
  <si>
    <t xml:space="preserve">    Type: UNIXO DR</t>
  </si>
  <si>
    <t xml:space="preserve">    Uk: 200/200x80/40x75,cm</t>
  </si>
  <si>
    <t xml:space="preserve">    Type: Marke 2 (Hydrolic, Armest, Roda)</t>
  </si>
  <si>
    <t xml:space="preserve">    Uk: 40 x 49 x 64,5 cm</t>
  </si>
  <si>
    <t xml:space="preserve">    Type: UNIXO BC 2</t>
  </si>
  <si>
    <t xml:space="preserve">    Uk: 200 x 80 x 40 cm</t>
  </si>
  <si>
    <t xml:space="preserve">   Type: Attha 3 Seater</t>
  </si>
  <si>
    <t xml:space="preserve">   Uk: 212(P) x 88 (L) x 78 (T), cm</t>
  </si>
  <si>
    <t xml:space="preserve">    Type: Hessen MT 2</t>
  </si>
  <si>
    <t xml:space="preserve">    Uk: 220(P) x 110 (L) x 75 (T), cm</t>
  </si>
  <si>
    <t xml:space="preserve">    Type: Serenity 3 (Hydrolic dan berputar)</t>
  </si>
  <si>
    <t xml:space="preserve">    Uk: 150 (P) x 50 (L) x 70 (T), cm</t>
  </si>
  <si>
    <t xml:space="preserve">    Uk: 200 (P) x 40 (L) x 105 (T), cm</t>
  </si>
  <si>
    <t xml:space="preserve">    Type: Candy 2 (Hydrolic dan Berputar)</t>
  </si>
  <si>
    <t xml:space="preserve">    Type : Attha 3 Seater</t>
  </si>
  <si>
    <t xml:space="preserve">    Uk: 212 (P) x 88 (D) x 78 (T), cm</t>
  </si>
  <si>
    <t xml:space="preserve">    Type : Attha 2 Seater</t>
  </si>
  <si>
    <t xml:space="preserve">    Uk: 152 (P) x 88 (D) x 78 (T), cm</t>
  </si>
  <si>
    <t xml:space="preserve">   Uk: 110 (P) x 60 (L) x 45 (T), cm</t>
  </si>
  <si>
    <t>bh</t>
  </si>
  <si>
    <t>set</t>
  </si>
  <si>
    <t>Terbilang: seratus lima puluh empat juta empat ratus lima puluh ribu rupiah.</t>
  </si>
  <si>
    <t>Yogyakarta,        Juli 2026</t>
  </si>
  <si>
    <t>HARGA PERKIRAAN SENDIRI (HPS)</t>
  </si>
  <si>
    <t>Tahun</t>
  </si>
  <si>
    <t>: 532111</t>
  </si>
  <si>
    <t>: Pengadaan Meubelair Ruang Arsip, Ruang Workstation, dan Ruang Holding Posko 1</t>
  </si>
  <si>
    <t xml:space="preserve">: 007.01.CA   </t>
  </si>
  <si>
    <t>: Program Penyelenggaraan Layanan Kepada Presiden dan Wakil Presiden</t>
  </si>
  <si>
    <t xml:space="preserve">: 5953 </t>
  </si>
  <si>
    <t>: Penyelenggaraan Kerumahtanggaan, Keprotokolan, Pers dan Media Kepada Presiden</t>
  </si>
  <si>
    <t>KRO</t>
  </si>
  <si>
    <t xml:space="preserve">: 5953 BAH </t>
  </si>
  <si>
    <t>: Pelayanan Publik Lainnya</t>
  </si>
  <si>
    <t>RO</t>
  </si>
  <si>
    <t xml:space="preserve">: 5953.BAH.001 </t>
  </si>
  <si>
    <t>: Layanan Kerumahtanggaan, Keprotokolan, Pers dan Media Kepada Presiden</t>
  </si>
  <si>
    <t>Komponen</t>
  </si>
  <si>
    <t xml:space="preserve">: 053                     </t>
  </si>
  <si>
    <t>: Penyediaan Sarana dan Prasarana Istana Kepresidenan</t>
  </si>
  <si>
    <t xml:space="preserve">: 532111            </t>
  </si>
  <si>
    <t xml:space="preserve">RUANG ARSIP </t>
  </si>
  <si>
    <t>RUANG WORKSTATION</t>
  </si>
  <si>
    <t>RUANG HOLDING POSKO 1</t>
  </si>
  <si>
    <t>Jumlah Harga HPS</t>
  </si>
  <si>
    <t>Pejabat Pembuat Komitmen</t>
  </si>
  <si>
    <t>Istana Kepresidenan Yogyakarta</t>
  </si>
  <si>
    <t>Sudiyana</t>
  </si>
  <si>
    <t>A.</t>
  </si>
  <si>
    <t>1.</t>
  </si>
  <si>
    <t>2.</t>
  </si>
  <si>
    <t>3.</t>
  </si>
  <si>
    <t>Meja Kerja:</t>
  </si>
  <si>
    <t xml:space="preserve">Mobile Drawer : UNIXO DW </t>
  </si>
  <si>
    <t>Almari:</t>
  </si>
  <si>
    <t>B.</t>
  </si>
  <si>
    <t>4.</t>
  </si>
  <si>
    <t>5.</t>
  </si>
  <si>
    <t>6.</t>
  </si>
  <si>
    <t xml:space="preserve"> Kursi Tunggu:</t>
  </si>
  <si>
    <t>Meja Coffee (Handmade)</t>
  </si>
  <si>
    <t>Sofa PUFF (Handmade)</t>
  </si>
  <si>
    <t xml:space="preserve">Kursi COFFEE </t>
  </si>
  <si>
    <t>Kursi Kerja:</t>
  </si>
  <si>
    <t>Sofa Tunggu 2  seater/dudukan</t>
  </si>
  <si>
    <t>Sofa Tunggu 3 seater/dudukan</t>
  </si>
  <si>
    <t>Sofa 3 Seater/Dudukan</t>
  </si>
  <si>
    <t>Sofa 2 Seater/ Dudukan</t>
  </si>
  <si>
    <t>Meja (Handmade) dengan rak Bawah</t>
  </si>
  <si>
    <t>C.</t>
  </si>
  <si>
    <t>Meja Tunggu/kerja: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</si>
</sst>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9" formatCode="_-&quot;Rp&quot;* #,##0.00_-;\-&quot;Rp&quot;* #,##0.00_-;_-&quot;Rp&quot;* &quot;-&quot;_-;_-@_-"/>
    <numFmt numFmtId="172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2" fillId="0" borderId="0" xfId="0" applyFont="1" applyFill="1" applyBorder="1" applyAlignment="1"/>
    <xf numFmtId="0" fontId="2" fillId="0" borderId="0" xfId="0" applyFont="1" applyAlignment="1">
      <alignment horizontal="left"/>
    </xf>
    <xf numFmtId="42" fontId="3" fillId="2" borderId="0" xfId="2" applyFont="1" applyFill="1" applyAlignment="1">
      <alignment horizontal="center" vertical="center"/>
    </xf>
    <xf numFmtId="42" fontId="3" fillId="2" borderId="0" xfId="2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9" fontId="2" fillId="2" borderId="0" xfId="0" applyNumberFormat="1" applyFont="1" applyFill="1" applyAlignment="1">
      <alignment horizontal="center" vertical="center"/>
    </xf>
    <xf numFmtId="169" fontId="2" fillId="2" borderId="0" xfId="0" applyNumberFormat="1" applyFont="1" applyFill="1" applyAlignment="1">
      <alignment vertical="center"/>
    </xf>
    <xf numFmtId="169" fontId="2" fillId="0" borderId="0" xfId="0" applyNumberFormat="1" applyFont="1" applyAlignment="1">
      <alignment horizontal="left"/>
    </xf>
    <xf numFmtId="169" fontId="2" fillId="0" borderId="0" xfId="0" applyNumberFormat="1" applyFont="1" applyFill="1" applyBorder="1" applyAlignment="1"/>
    <xf numFmtId="0" fontId="2" fillId="2" borderId="0" xfId="0" applyFont="1" applyFill="1"/>
    <xf numFmtId="0" fontId="2" fillId="0" borderId="0" xfId="0" applyFont="1" applyAlignment="1">
      <alignment horizontal="center"/>
    </xf>
    <xf numFmtId="169" fontId="2" fillId="0" borderId="0" xfId="0" applyNumberFormat="1" applyFont="1" applyAlignment="1">
      <alignment horizontal="center"/>
    </xf>
    <xf numFmtId="169" fontId="2" fillId="2" borderId="0" xfId="0" applyNumberFormat="1" applyFont="1" applyFill="1"/>
    <xf numFmtId="0" fontId="3" fillId="0" borderId="1" xfId="0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169" fontId="3" fillId="0" borderId="0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horizontal="left" vertical="top"/>
    </xf>
    <xf numFmtId="164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9" fontId="2" fillId="0" borderId="3" xfId="0" applyNumberFormat="1" applyFont="1" applyBorder="1" applyAlignment="1">
      <alignment vertical="top"/>
    </xf>
    <xf numFmtId="169" fontId="2" fillId="0" borderId="3" xfId="0" applyNumberFormat="1" applyFont="1" applyBorder="1" applyAlignment="1">
      <alignment horizontal="left" vertical="top" wrapText="1"/>
    </xf>
    <xf numFmtId="164" fontId="2" fillId="0" borderId="0" xfId="0" applyNumberFormat="1" applyFont="1"/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center" vertical="top"/>
    </xf>
    <xf numFmtId="169" fontId="2" fillId="0" borderId="2" xfId="0" applyNumberFormat="1" applyFont="1" applyBorder="1" applyAlignment="1">
      <alignment vertical="top"/>
    </xf>
    <xf numFmtId="169" fontId="2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vertical="top"/>
    </xf>
    <xf numFmtId="0" fontId="2" fillId="0" borderId="2" xfId="0" quotePrefix="1" applyFont="1" applyBorder="1" applyAlignment="1">
      <alignment horizontal="left" vertical="top"/>
    </xf>
    <xf numFmtId="169" fontId="2" fillId="0" borderId="2" xfId="0" applyNumberFormat="1" applyFont="1" applyBorder="1"/>
    <xf numFmtId="43" fontId="2" fillId="0" borderId="0" xfId="0" applyNumberFormat="1" applyFont="1"/>
    <xf numFmtId="0" fontId="2" fillId="0" borderId="2" xfId="0" applyFont="1" applyFill="1" applyBorder="1" applyAlignment="1">
      <alignment horizontal="center" vertical="top"/>
    </xf>
    <xf numFmtId="0" fontId="2" fillId="0" borderId="2" xfId="0" quotePrefix="1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2" fillId="0" borderId="4" xfId="0" quotePrefix="1" applyFont="1" applyBorder="1" applyAlignment="1">
      <alignment horizontal="left" vertical="top"/>
    </xf>
    <xf numFmtId="164" fontId="2" fillId="0" borderId="4" xfId="0" applyNumberFormat="1" applyFont="1" applyBorder="1" applyAlignment="1">
      <alignment horizontal="center" vertical="top"/>
    </xf>
    <xf numFmtId="169" fontId="2" fillId="0" borderId="4" xfId="0" applyNumberFormat="1" applyFont="1" applyBorder="1" applyAlignment="1">
      <alignment vertical="top"/>
    </xf>
    <xf numFmtId="169" fontId="2" fillId="0" borderId="4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69" fontId="3" fillId="0" borderId="1" xfId="0" applyNumberFormat="1" applyFont="1" applyBorder="1" applyAlignment="1">
      <alignment horizontal="right"/>
    </xf>
    <xf numFmtId="169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169" fontId="2" fillId="0" borderId="0" xfId="0" applyNumberFormat="1" applyFont="1"/>
    <xf numFmtId="0" fontId="2" fillId="0" borderId="0" xfId="0" applyFont="1" applyAlignment="1"/>
    <xf numFmtId="172" fontId="2" fillId="0" borderId="0" xfId="0" applyNumberFormat="1" applyFont="1" applyAlignment="1">
      <alignment horizontal="center"/>
    </xf>
    <xf numFmtId="172" fontId="3" fillId="0" borderId="1" xfId="0" applyNumberFormat="1" applyFont="1" applyBorder="1" applyAlignment="1">
      <alignment horizontal="center" vertical="center"/>
    </xf>
    <xf numFmtId="172" fontId="3" fillId="0" borderId="0" xfId="0" applyNumberFormat="1" applyFont="1" applyBorder="1" applyAlignment="1">
      <alignment horizontal="center" vertical="center"/>
    </xf>
    <xf numFmtId="172" fontId="2" fillId="0" borderId="3" xfId="0" applyNumberFormat="1" applyFont="1" applyBorder="1" applyAlignment="1">
      <alignment horizontal="center" vertical="top"/>
    </xf>
    <xf numFmtId="172" fontId="2" fillId="0" borderId="2" xfId="0" applyNumberFormat="1" applyFont="1" applyBorder="1" applyAlignment="1">
      <alignment horizontal="center" vertical="top"/>
    </xf>
    <xf numFmtId="172" fontId="2" fillId="0" borderId="4" xfId="0" applyNumberFormat="1" applyFont="1" applyBorder="1" applyAlignment="1">
      <alignment horizontal="center" vertical="top"/>
    </xf>
    <xf numFmtId="172" fontId="2" fillId="2" borderId="0" xfId="0" applyNumberFormat="1" applyFont="1" applyFill="1" applyAlignment="1">
      <alignment horizontal="center" vertical="center"/>
    </xf>
    <xf numFmtId="172" fontId="3" fillId="0" borderId="1" xfId="0" applyNumberFormat="1" applyFont="1" applyBorder="1" applyAlignment="1">
      <alignment horizontal="center"/>
    </xf>
    <xf numFmtId="0" fontId="2" fillId="3" borderId="0" xfId="0" applyFont="1" applyFill="1"/>
    <xf numFmtId="41" fontId="2" fillId="2" borderId="0" xfId="1" applyFont="1" applyFill="1"/>
    <xf numFmtId="41" fontId="2" fillId="0" borderId="0" xfId="1" applyFont="1"/>
    <xf numFmtId="41" fontId="3" fillId="0" borderId="0" xfId="1" applyFont="1" applyAlignment="1">
      <alignment vertical="center"/>
    </xf>
    <xf numFmtId="41" fontId="3" fillId="0" borderId="0" xfId="1" applyFont="1"/>
    <xf numFmtId="169" fontId="2" fillId="2" borderId="2" xfId="0" applyNumberFormat="1" applyFont="1" applyFill="1" applyBorder="1"/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1156-4E48-44B4-9502-F4265F5AB3D2}">
  <dimension ref="A1:S78"/>
  <sheetViews>
    <sheetView tabSelected="1" view="pageBreakPreview" topLeftCell="A49" zoomScale="130" zoomScaleNormal="100" zoomScaleSheetLayoutView="130" workbookViewId="0">
      <selection activeCell="D55" sqref="D55"/>
    </sheetView>
  </sheetViews>
  <sheetFormatPr defaultRowHeight="15" customHeight="1" x14ac:dyDescent="0.2"/>
  <cols>
    <col min="1" max="1" width="3.7109375" style="1" customWidth="1"/>
    <col min="2" max="2" width="6.85546875" style="1" customWidth="1"/>
    <col min="3" max="3" width="14.28515625" style="1" customWidth="1"/>
    <col min="4" max="4" width="21.28515625" style="1" customWidth="1"/>
    <col min="5" max="5" width="8.28515625" style="58" customWidth="1"/>
    <col min="6" max="6" width="9.140625" style="1"/>
    <col min="7" max="8" width="18.140625" style="56" customWidth="1"/>
    <col min="9" max="9" width="17.42578125" style="1" customWidth="1"/>
    <col min="10" max="10" width="9.140625" style="1"/>
    <col min="11" max="11" width="14.28515625" style="1" bestFit="1" customWidth="1"/>
    <col min="12" max="12" width="13.85546875" style="1" customWidth="1"/>
    <col min="13" max="13" width="14.28515625" style="1" customWidth="1"/>
    <col min="14" max="15" width="9.140625" style="1"/>
    <col min="16" max="16" width="13.42578125" style="68" customWidth="1"/>
    <col min="17" max="16384" width="9.140625" style="1"/>
  </cols>
  <sheetData>
    <row r="1" spans="1:19" s="12" customFormat="1" ht="15" customHeight="1" x14ac:dyDescent="0.2">
      <c r="A1" s="4" t="s">
        <v>45</v>
      </c>
      <c r="B1" s="4"/>
      <c r="C1" s="4"/>
      <c r="D1" s="4"/>
      <c r="E1" s="4"/>
      <c r="F1" s="4"/>
      <c r="G1" s="4"/>
      <c r="H1" s="4"/>
      <c r="I1" s="5"/>
      <c r="J1" s="5"/>
      <c r="K1" s="5"/>
      <c r="L1" s="5"/>
      <c r="M1" s="5"/>
      <c r="P1" s="67"/>
    </row>
    <row r="2" spans="1:19" ht="15" customHeight="1" x14ac:dyDescent="0.2">
      <c r="B2" s="13"/>
      <c r="C2" s="13"/>
      <c r="D2" s="13"/>
      <c r="F2" s="13"/>
      <c r="G2" s="14"/>
      <c r="H2" s="14"/>
      <c r="I2" s="13"/>
    </row>
    <row r="3" spans="1:19" s="12" customFormat="1" ht="15" customHeight="1" x14ac:dyDescent="0.2">
      <c r="A3" s="1" t="s">
        <v>0</v>
      </c>
      <c r="B3" s="6"/>
      <c r="C3" s="1" t="s">
        <v>49</v>
      </c>
      <c r="D3" s="1" t="s">
        <v>50</v>
      </c>
      <c r="E3" s="64"/>
      <c r="G3" s="15"/>
      <c r="H3" s="8"/>
      <c r="I3" s="6"/>
      <c r="J3" s="6"/>
      <c r="K3" s="7"/>
      <c r="P3" s="67"/>
    </row>
    <row r="4" spans="1:19" s="12" customFormat="1" ht="15" customHeight="1" x14ac:dyDescent="0.2">
      <c r="A4" s="1" t="s">
        <v>1</v>
      </c>
      <c r="B4" s="6"/>
      <c r="C4" s="1" t="s">
        <v>51</v>
      </c>
      <c r="D4" s="1" t="s">
        <v>52</v>
      </c>
      <c r="E4" s="64"/>
      <c r="G4" s="15"/>
      <c r="H4" s="8"/>
      <c r="I4" s="6"/>
      <c r="J4" s="6"/>
      <c r="K4" s="7"/>
      <c r="P4" s="67"/>
      <c r="Q4" s="1"/>
      <c r="R4" s="1"/>
      <c r="S4" s="1"/>
    </row>
    <row r="5" spans="1:19" s="12" customFormat="1" ht="15" customHeight="1" x14ac:dyDescent="0.2">
      <c r="A5" s="1" t="s">
        <v>53</v>
      </c>
      <c r="B5" s="6"/>
      <c r="C5" s="1" t="s">
        <v>54</v>
      </c>
      <c r="D5" s="1" t="s">
        <v>55</v>
      </c>
      <c r="E5" s="64"/>
      <c r="G5" s="15"/>
      <c r="H5" s="8"/>
      <c r="I5" s="6"/>
      <c r="J5" s="6"/>
      <c r="K5" s="7"/>
      <c r="P5" s="67"/>
      <c r="Q5" s="1"/>
      <c r="R5" s="1"/>
      <c r="S5" s="1"/>
    </row>
    <row r="6" spans="1:19" s="12" customFormat="1" ht="15" customHeight="1" x14ac:dyDescent="0.2">
      <c r="A6" s="1" t="s">
        <v>56</v>
      </c>
      <c r="B6" s="6"/>
      <c r="C6" s="1" t="s">
        <v>57</v>
      </c>
      <c r="D6" s="1" t="s">
        <v>58</v>
      </c>
      <c r="E6" s="64"/>
      <c r="G6" s="15"/>
      <c r="H6" s="8"/>
      <c r="I6" s="6"/>
      <c r="J6" s="6"/>
      <c r="K6" s="7"/>
      <c r="P6" s="67"/>
      <c r="Q6" s="1"/>
      <c r="R6" s="1"/>
      <c r="S6" s="1"/>
    </row>
    <row r="7" spans="1:19" s="12" customFormat="1" ht="15" customHeight="1" x14ac:dyDescent="0.2">
      <c r="A7" s="6" t="s">
        <v>2</v>
      </c>
      <c r="B7" s="6"/>
      <c r="C7" s="6" t="s">
        <v>47</v>
      </c>
      <c r="D7" s="1" t="s">
        <v>14</v>
      </c>
      <c r="E7" s="58"/>
      <c r="G7" s="15"/>
      <c r="H7" s="8"/>
      <c r="I7" s="6"/>
      <c r="J7" s="6"/>
      <c r="K7" s="7"/>
      <c r="P7" s="67"/>
      <c r="Q7" s="1"/>
      <c r="R7" s="1"/>
      <c r="S7" s="1"/>
    </row>
    <row r="8" spans="1:19" s="12" customFormat="1" ht="15" customHeight="1" x14ac:dyDescent="0.2">
      <c r="A8" s="1" t="s">
        <v>59</v>
      </c>
      <c r="B8" s="6"/>
      <c r="C8" s="1" t="s">
        <v>60</v>
      </c>
      <c r="D8" s="1" t="s">
        <v>61</v>
      </c>
      <c r="E8" s="58"/>
      <c r="G8" s="15"/>
      <c r="H8" s="8"/>
      <c r="I8" s="6"/>
      <c r="J8" s="6"/>
      <c r="K8" s="7"/>
      <c r="P8" s="67"/>
      <c r="Q8" s="1"/>
      <c r="R8" s="1"/>
      <c r="S8" s="1"/>
    </row>
    <row r="9" spans="1:19" s="12" customFormat="1" ht="15" customHeight="1" x14ac:dyDescent="0.2">
      <c r="A9" s="1" t="s">
        <v>2</v>
      </c>
      <c r="B9" s="6"/>
      <c r="C9" s="1" t="s">
        <v>62</v>
      </c>
      <c r="D9" s="1" t="s">
        <v>14</v>
      </c>
      <c r="E9" s="58"/>
      <c r="G9" s="15"/>
      <c r="H9" s="8"/>
      <c r="I9" s="6"/>
      <c r="J9" s="6"/>
      <c r="K9" s="7"/>
      <c r="P9" s="67"/>
      <c r="Q9" s="1"/>
      <c r="R9" s="1"/>
      <c r="S9" s="1"/>
    </row>
    <row r="10" spans="1:19" s="12" customFormat="1" ht="15" customHeight="1" x14ac:dyDescent="0.2">
      <c r="A10" s="6" t="s">
        <v>3</v>
      </c>
      <c r="B10" s="6"/>
      <c r="C10" s="1" t="s">
        <v>48</v>
      </c>
      <c r="D10" s="6"/>
      <c r="E10" s="64"/>
      <c r="G10" s="9"/>
      <c r="H10" s="9"/>
      <c r="I10" s="6"/>
      <c r="J10" s="6"/>
      <c r="K10" s="7"/>
      <c r="P10" s="67"/>
      <c r="Q10" s="1"/>
      <c r="R10" s="1"/>
      <c r="S10" s="1"/>
    </row>
    <row r="11" spans="1:19" s="12" customFormat="1" ht="15" customHeight="1" x14ac:dyDescent="0.2">
      <c r="A11" s="6" t="s">
        <v>4</v>
      </c>
      <c r="B11" s="6"/>
      <c r="C11" s="1" t="s">
        <v>5</v>
      </c>
      <c r="D11" s="6"/>
      <c r="E11" s="64"/>
      <c r="G11" s="9"/>
      <c r="H11" s="9"/>
      <c r="I11" s="6"/>
      <c r="J11" s="6"/>
      <c r="K11" s="7"/>
      <c r="P11" s="67"/>
      <c r="Q11" s="1"/>
      <c r="R11" s="1"/>
      <c r="S11" s="1"/>
    </row>
    <row r="12" spans="1:19" s="12" customFormat="1" ht="15" customHeight="1" x14ac:dyDescent="0.2">
      <c r="A12" s="6" t="s">
        <v>46</v>
      </c>
      <c r="B12" s="6"/>
      <c r="C12" s="1" t="s">
        <v>13</v>
      </c>
      <c r="D12" s="6"/>
      <c r="E12" s="64"/>
      <c r="G12" s="9"/>
      <c r="H12" s="9"/>
      <c r="I12" s="6"/>
      <c r="J12" s="6"/>
      <c r="K12" s="7"/>
      <c r="P12" s="67"/>
    </row>
    <row r="14" spans="1:19" s="18" customFormat="1" ht="15" customHeight="1" x14ac:dyDescent="0.25">
      <c r="A14" s="16" t="s">
        <v>6</v>
      </c>
      <c r="B14" s="16" t="s">
        <v>7</v>
      </c>
      <c r="C14" s="16"/>
      <c r="D14" s="16"/>
      <c r="E14" s="59" t="s">
        <v>8</v>
      </c>
      <c r="F14" s="16"/>
      <c r="G14" s="17" t="s">
        <v>9</v>
      </c>
      <c r="H14" s="17" t="s">
        <v>10</v>
      </c>
      <c r="K14" s="18" t="s">
        <v>9</v>
      </c>
      <c r="L14" s="19">
        <v>0.15</v>
      </c>
      <c r="P14" s="69"/>
    </row>
    <row r="15" spans="1:19" s="18" customFormat="1" ht="15" customHeight="1" x14ac:dyDescent="0.25">
      <c r="A15" s="20"/>
      <c r="B15" s="20"/>
      <c r="C15" s="20"/>
      <c r="D15" s="20"/>
      <c r="E15" s="60"/>
      <c r="F15" s="20"/>
      <c r="G15" s="21"/>
      <c r="H15" s="21"/>
      <c r="L15" s="19"/>
      <c r="P15" s="69"/>
    </row>
    <row r="16" spans="1:19" ht="15" customHeight="1" x14ac:dyDescent="0.2">
      <c r="A16" s="22" t="s">
        <v>70</v>
      </c>
      <c r="B16" s="23" t="s">
        <v>63</v>
      </c>
      <c r="C16" s="24"/>
      <c r="D16" s="25"/>
      <c r="E16" s="61"/>
      <c r="F16" s="26"/>
      <c r="G16" s="27"/>
      <c r="H16" s="28"/>
      <c r="K16" s="29"/>
    </row>
    <row r="17" spans="1:16" ht="15" customHeight="1" x14ac:dyDescent="0.2">
      <c r="A17" s="30"/>
      <c r="B17" s="35" t="s">
        <v>15</v>
      </c>
      <c r="C17" s="31"/>
      <c r="D17" s="32"/>
      <c r="E17" s="62"/>
      <c r="F17" s="30"/>
      <c r="G17" s="33"/>
      <c r="H17" s="34"/>
      <c r="K17" s="29"/>
    </row>
    <row r="18" spans="1:16" ht="15" customHeight="1" x14ac:dyDescent="0.2">
      <c r="A18" s="39" t="s">
        <v>71</v>
      </c>
      <c r="B18" s="35" t="s">
        <v>86</v>
      </c>
      <c r="C18" s="36"/>
      <c r="D18" s="32"/>
      <c r="E18" s="62">
        <v>2</v>
      </c>
      <c r="F18" s="30" t="s">
        <v>41</v>
      </c>
      <c r="G18" s="37">
        <v>5850000</v>
      </c>
      <c r="H18" s="34">
        <f>E18*G18</f>
        <v>11700000</v>
      </c>
      <c r="K18" s="29">
        <v>7400000</v>
      </c>
      <c r="L18" s="38">
        <f>K18*12%</f>
        <v>888000</v>
      </c>
      <c r="M18" s="38">
        <f>K18-L18</f>
        <v>6512000</v>
      </c>
      <c r="O18" s="66">
        <v>6500000</v>
      </c>
      <c r="P18" s="68">
        <f>(100/111)*O18</f>
        <v>5855855.8558558561</v>
      </c>
    </row>
    <row r="19" spans="1:16" ht="15" customHeight="1" x14ac:dyDescent="0.2">
      <c r="A19" s="30"/>
      <c r="B19" s="35" t="s">
        <v>16</v>
      </c>
      <c r="C19" s="36"/>
      <c r="D19" s="32"/>
      <c r="E19" s="62"/>
      <c r="F19" s="30"/>
      <c r="G19" s="33"/>
      <c r="H19" s="34"/>
      <c r="K19" s="29"/>
      <c r="O19" s="66"/>
    </row>
    <row r="20" spans="1:16" ht="15" customHeight="1" x14ac:dyDescent="0.2">
      <c r="A20" s="30"/>
      <c r="B20" s="35" t="s">
        <v>19</v>
      </c>
      <c r="C20" s="36"/>
      <c r="D20" s="32"/>
      <c r="E20" s="62"/>
      <c r="F20" s="30"/>
      <c r="G20" s="33"/>
      <c r="H20" s="34"/>
      <c r="K20" s="29"/>
      <c r="O20" s="66"/>
    </row>
    <row r="21" spans="1:16" ht="15" customHeight="1" x14ac:dyDescent="0.2">
      <c r="A21" s="39" t="s">
        <v>72</v>
      </c>
      <c r="B21" s="40" t="s">
        <v>17</v>
      </c>
      <c r="C21" s="36"/>
      <c r="D21" s="32"/>
      <c r="E21" s="62">
        <v>1</v>
      </c>
      <c r="F21" s="30" t="s">
        <v>41</v>
      </c>
      <c r="G21" s="37">
        <v>2700000</v>
      </c>
      <c r="H21" s="34">
        <f t="shared" ref="H21:H61" si="0">E21*G21</f>
        <v>2700000</v>
      </c>
      <c r="K21" s="29">
        <v>3500000</v>
      </c>
      <c r="L21" s="38">
        <f t="shared" ref="L21:L61" si="1">K21*12%</f>
        <v>420000</v>
      </c>
      <c r="M21" s="38">
        <f t="shared" ref="M21:M61" si="2">K21-L21</f>
        <v>3080000</v>
      </c>
      <c r="O21" s="66">
        <v>3000000</v>
      </c>
      <c r="P21" s="68">
        <f t="shared" ref="P21:P63" si="3">(100/111)*O21</f>
        <v>2702702.702702703</v>
      </c>
    </row>
    <row r="22" spans="1:16" ht="15" customHeight="1" x14ac:dyDescent="0.2">
      <c r="A22" s="30"/>
      <c r="B22" s="35" t="s">
        <v>18</v>
      </c>
      <c r="C22" s="36"/>
      <c r="D22" s="32"/>
      <c r="E22" s="62"/>
      <c r="F22" s="35"/>
      <c r="G22" s="37"/>
      <c r="H22" s="34"/>
      <c r="K22" s="29"/>
      <c r="L22" s="38">
        <f t="shared" si="1"/>
        <v>0</v>
      </c>
      <c r="M22" s="38">
        <f t="shared" si="2"/>
        <v>0</v>
      </c>
      <c r="O22" s="66"/>
      <c r="P22" s="68">
        <f t="shared" si="3"/>
        <v>0</v>
      </c>
    </row>
    <row r="23" spans="1:16" ht="15" customHeight="1" x14ac:dyDescent="0.2">
      <c r="A23" s="30" t="s">
        <v>73</v>
      </c>
      <c r="B23" s="35" t="s">
        <v>20</v>
      </c>
      <c r="C23" s="36"/>
      <c r="D23" s="32"/>
      <c r="E23" s="62">
        <v>1</v>
      </c>
      <c r="F23" s="30" t="s">
        <v>42</v>
      </c>
      <c r="G23" s="37">
        <v>10650000</v>
      </c>
      <c r="H23" s="34">
        <f t="shared" si="0"/>
        <v>10650000</v>
      </c>
      <c r="K23" s="29">
        <v>13500000</v>
      </c>
      <c r="L23" s="38">
        <f t="shared" si="1"/>
        <v>1620000</v>
      </c>
      <c r="M23" s="38">
        <f t="shared" si="2"/>
        <v>11880000</v>
      </c>
      <c r="O23" s="66">
        <v>11800000</v>
      </c>
      <c r="P23" s="68">
        <f t="shared" si="3"/>
        <v>10630630.630630631</v>
      </c>
    </row>
    <row r="24" spans="1:16" ht="15" customHeight="1" x14ac:dyDescent="0.2">
      <c r="A24" s="30"/>
      <c r="B24" s="35" t="s">
        <v>21</v>
      </c>
      <c r="C24" s="36"/>
      <c r="D24" s="32"/>
      <c r="E24" s="62"/>
      <c r="F24" s="30"/>
      <c r="G24" s="37"/>
      <c r="H24" s="34"/>
      <c r="K24" s="29"/>
      <c r="L24" s="38">
        <f t="shared" si="1"/>
        <v>0</v>
      </c>
      <c r="M24" s="38">
        <f t="shared" si="2"/>
        <v>0</v>
      </c>
      <c r="O24" s="66"/>
      <c r="P24" s="68">
        <f t="shared" si="3"/>
        <v>0</v>
      </c>
    </row>
    <row r="25" spans="1:16" ht="15" customHeight="1" x14ac:dyDescent="0.2">
      <c r="A25" s="39">
        <v>4</v>
      </c>
      <c r="B25" s="35" t="s">
        <v>74</v>
      </c>
      <c r="C25" s="36"/>
      <c r="D25" s="32"/>
      <c r="E25" s="62">
        <v>1</v>
      </c>
      <c r="F25" s="30" t="s">
        <v>41</v>
      </c>
      <c r="G25" s="37">
        <v>5150000</v>
      </c>
      <c r="H25" s="34">
        <f t="shared" si="0"/>
        <v>5150000</v>
      </c>
      <c r="K25" s="29">
        <v>6500000</v>
      </c>
      <c r="L25" s="38">
        <f t="shared" si="1"/>
        <v>780000</v>
      </c>
      <c r="M25" s="38">
        <f t="shared" si="2"/>
        <v>5720000</v>
      </c>
      <c r="O25" s="66">
        <v>5700000</v>
      </c>
      <c r="P25" s="68">
        <f t="shared" si="3"/>
        <v>5135135.1351351356</v>
      </c>
    </row>
    <row r="26" spans="1:16" ht="15" customHeight="1" x14ac:dyDescent="0.2">
      <c r="A26" s="30"/>
      <c r="B26" s="35" t="s">
        <v>22</v>
      </c>
      <c r="C26" s="36"/>
      <c r="D26" s="32"/>
      <c r="E26" s="62"/>
      <c r="F26" s="35"/>
      <c r="G26" s="37"/>
      <c r="H26" s="34"/>
      <c r="K26" s="29"/>
      <c r="L26" s="38">
        <f t="shared" si="1"/>
        <v>0</v>
      </c>
      <c r="M26" s="38">
        <f t="shared" si="2"/>
        <v>0</v>
      </c>
      <c r="O26" s="66"/>
      <c r="P26" s="68">
        <f t="shared" si="3"/>
        <v>0</v>
      </c>
    </row>
    <row r="27" spans="1:16" ht="15" customHeight="1" x14ac:dyDescent="0.2">
      <c r="A27" s="30"/>
      <c r="B27" s="35" t="s">
        <v>23</v>
      </c>
      <c r="C27" s="36"/>
      <c r="D27" s="32"/>
      <c r="E27" s="62"/>
      <c r="F27" s="30"/>
      <c r="G27" s="37"/>
      <c r="H27" s="34"/>
      <c r="K27" s="29"/>
      <c r="L27" s="38">
        <f t="shared" si="1"/>
        <v>0</v>
      </c>
      <c r="M27" s="38">
        <f t="shared" si="2"/>
        <v>0</v>
      </c>
      <c r="O27" s="66"/>
      <c r="P27" s="68">
        <f t="shared" si="3"/>
        <v>0</v>
      </c>
    </row>
    <row r="28" spans="1:16" ht="15" customHeight="1" x14ac:dyDescent="0.2">
      <c r="A28" s="30">
        <v>5</v>
      </c>
      <c r="B28" s="35" t="s">
        <v>85</v>
      </c>
      <c r="C28" s="36"/>
      <c r="D28" s="32"/>
      <c r="E28" s="62">
        <v>4</v>
      </c>
      <c r="F28" s="30" t="s">
        <v>41</v>
      </c>
      <c r="G28" s="37">
        <v>3750000</v>
      </c>
      <c r="H28" s="34">
        <f t="shared" si="0"/>
        <v>15000000</v>
      </c>
      <c r="K28" s="29">
        <v>4950000</v>
      </c>
      <c r="L28" s="38">
        <f t="shared" si="1"/>
        <v>594000</v>
      </c>
      <c r="M28" s="38">
        <f t="shared" si="2"/>
        <v>4356000</v>
      </c>
      <c r="O28" s="66">
        <v>4200000</v>
      </c>
      <c r="P28" s="68">
        <f t="shared" si="3"/>
        <v>3783783.7837837837</v>
      </c>
    </row>
    <row r="29" spans="1:16" ht="15" customHeight="1" x14ac:dyDescent="0.2">
      <c r="A29" s="39"/>
      <c r="B29" s="35" t="s">
        <v>24</v>
      </c>
      <c r="C29" s="36"/>
      <c r="D29" s="32"/>
      <c r="E29" s="62"/>
      <c r="F29" s="35"/>
      <c r="G29" s="37"/>
      <c r="H29" s="34"/>
      <c r="K29" s="29"/>
      <c r="L29" s="38">
        <f t="shared" si="1"/>
        <v>0</v>
      </c>
      <c r="M29" s="38">
        <f t="shared" si="2"/>
        <v>0</v>
      </c>
      <c r="O29" s="66"/>
      <c r="P29" s="68">
        <f t="shared" si="3"/>
        <v>0</v>
      </c>
    </row>
    <row r="30" spans="1:16" ht="15" customHeight="1" x14ac:dyDescent="0.2">
      <c r="A30" s="30">
        <v>6</v>
      </c>
      <c r="B30" s="35" t="s">
        <v>75</v>
      </c>
      <c r="C30" s="36"/>
      <c r="D30" s="32"/>
      <c r="E30" s="62">
        <v>1</v>
      </c>
      <c r="F30" s="30" t="s">
        <v>41</v>
      </c>
      <c r="G30" s="37">
        <v>1000000</v>
      </c>
      <c r="H30" s="34">
        <f t="shared" si="0"/>
        <v>1000000</v>
      </c>
      <c r="K30" s="29">
        <v>1230000</v>
      </c>
      <c r="L30" s="38">
        <f t="shared" si="1"/>
        <v>147600</v>
      </c>
      <c r="M30" s="38">
        <f t="shared" si="2"/>
        <v>1082400</v>
      </c>
      <c r="O30" s="66">
        <v>1000000</v>
      </c>
      <c r="P30" s="68">
        <f t="shared" si="3"/>
        <v>900900.90090090095</v>
      </c>
    </row>
    <row r="31" spans="1:16" ht="15" customHeight="1" x14ac:dyDescent="0.2">
      <c r="A31" s="39"/>
      <c r="B31" s="35" t="s">
        <v>25</v>
      </c>
      <c r="C31" s="36"/>
      <c r="D31" s="32"/>
      <c r="E31" s="62"/>
      <c r="F31" s="35"/>
      <c r="G31" s="37"/>
      <c r="H31" s="34"/>
      <c r="K31" s="29"/>
      <c r="L31" s="38">
        <f t="shared" si="1"/>
        <v>0</v>
      </c>
      <c r="M31" s="38">
        <f t="shared" si="2"/>
        <v>0</v>
      </c>
      <c r="O31" s="66"/>
      <c r="P31" s="68">
        <f t="shared" si="3"/>
        <v>0</v>
      </c>
    </row>
    <row r="32" spans="1:16" ht="15" customHeight="1" x14ac:dyDescent="0.2">
      <c r="A32" s="30">
        <v>7</v>
      </c>
      <c r="B32" s="35" t="s">
        <v>76</v>
      </c>
      <c r="C32" s="36"/>
      <c r="D32" s="32"/>
      <c r="E32" s="62">
        <v>3</v>
      </c>
      <c r="F32" s="30" t="s">
        <v>41</v>
      </c>
      <c r="G32" s="37">
        <v>3300000</v>
      </c>
      <c r="H32" s="34">
        <f t="shared" si="0"/>
        <v>9900000</v>
      </c>
      <c r="K32" s="29">
        <v>4285000</v>
      </c>
      <c r="L32" s="38">
        <f t="shared" si="1"/>
        <v>514200</v>
      </c>
      <c r="M32" s="38">
        <f t="shared" si="2"/>
        <v>3770800</v>
      </c>
      <c r="O32" s="66">
        <v>3700000</v>
      </c>
      <c r="P32" s="68">
        <f t="shared" si="3"/>
        <v>3333333.3333333335</v>
      </c>
    </row>
    <row r="33" spans="1:16" ht="15" customHeight="1" x14ac:dyDescent="0.2">
      <c r="A33" s="39"/>
      <c r="B33" s="35" t="s">
        <v>26</v>
      </c>
      <c r="C33" s="36"/>
      <c r="D33" s="32"/>
      <c r="E33" s="62"/>
      <c r="F33" s="35"/>
      <c r="G33" s="37"/>
      <c r="H33" s="34"/>
      <c r="K33" s="29"/>
      <c r="L33" s="38">
        <f t="shared" si="1"/>
        <v>0</v>
      </c>
      <c r="M33" s="38">
        <f t="shared" si="2"/>
        <v>0</v>
      </c>
      <c r="O33" s="66"/>
      <c r="P33" s="68">
        <f t="shared" si="3"/>
        <v>0</v>
      </c>
    </row>
    <row r="34" spans="1:16" ht="15" customHeight="1" x14ac:dyDescent="0.2">
      <c r="A34" s="39"/>
      <c r="B34" s="35" t="s">
        <v>27</v>
      </c>
      <c r="C34" s="36"/>
      <c r="D34" s="32"/>
      <c r="E34" s="62"/>
      <c r="F34" s="35"/>
      <c r="G34" s="37"/>
      <c r="H34" s="34"/>
      <c r="K34" s="29"/>
      <c r="L34" s="38">
        <f t="shared" si="1"/>
        <v>0</v>
      </c>
      <c r="M34" s="38">
        <f t="shared" si="2"/>
        <v>0</v>
      </c>
      <c r="O34" s="66"/>
      <c r="P34" s="68">
        <f t="shared" si="3"/>
        <v>0</v>
      </c>
    </row>
    <row r="35" spans="1:16" ht="15" customHeight="1" x14ac:dyDescent="0.2">
      <c r="A35" s="39"/>
      <c r="B35" s="35"/>
      <c r="C35" s="36"/>
      <c r="D35" s="32"/>
      <c r="E35" s="62"/>
      <c r="F35" s="35"/>
      <c r="G35" s="37"/>
      <c r="H35" s="34"/>
      <c r="K35" s="29"/>
      <c r="L35" s="38">
        <f t="shared" si="1"/>
        <v>0</v>
      </c>
      <c r="M35" s="38">
        <f t="shared" si="2"/>
        <v>0</v>
      </c>
      <c r="O35" s="66"/>
      <c r="P35" s="68">
        <f t="shared" si="3"/>
        <v>0</v>
      </c>
    </row>
    <row r="36" spans="1:16" ht="15" customHeight="1" x14ac:dyDescent="0.2">
      <c r="A36" s="41" t="s">
        <v>77</v>
      </c>
      <c r="B36" s="42" t="s">
        <v>64</v>
      </c>
      <c r="C36" s="43"/>
      <c r="D36" s="32"/>
      <c r="E36" s="62"/>
      <c r="F36" s="30"/>
      <c r="G36" s="37"/>
      <c r="H36" s="34"/>
      <c r="K36" s="29"/>
      <c r="L36" s="38">
        <f t="shared" si="1"/>
        <v>0</v>
      </c>
      <c r="M36" s="38">
        <f t="shared" si="2"/>
        <v>0</v>
      </c>
      <c r="O36" s="66"/>
      <c r="P36" s="68">
        <f t="shared" si="3"/>
        <v>0</v>
      </c>
    </row>
    <row r="37" spans="1:16" ht="15" customHeight="1" x14ac:dyDescent="0.2">
      <c r="A37" s="30"/>
      <c r="B37" s="35" t="s">
        <v>15</v>
      </c>
      <c r="C37" s="31"/>
      <c r="D37" s="32"/>
      <c r="E37" s="62"/>
      <c r="F37" s="30"/>
      <c r="G37" s="37"/>
      <c r="H37" s="34"/>
      <c r="K37" s="29"/>
      <c r="L37" s="38">
        <f t="shared" si="1"/>
        <v>0</v>
      </c>
      <c r="M37" s="38">
        <f t="shared" si="2"/>
        <v>0</v>
      </c>
      <c r="O37" s="66"/>
      <c r="P37" s="68">
        <f t="shared" si="3"/>
        <v>0</v>
      </c>
    </row>
    <row r="38" spans="1:16" ht="15" customHeight="1" x14ac:dyDescent="0.2">
      <c r="A38" s="39" t="s">
        <v>71</v>
      </c>
      <c r="B38" s="35" t="s">
        <v>87</v>
      </c>
      <c r="C38" s="36"/>
      <c r="D38" s="32"/>
      <c r="E38" s="62">
        <v>1</v>
      </c>
      <c r="F38" s="30" t="s">
        <v>41</v>
      </c>
      <c r="G38" s="71">
        <v>7200000</v>
      </c>
      <c r="H38" s="34">
        <f t="shared" si="0"/>
        <v>7200000</v>
      </c>
      <c r="K38" s="29">
        <v>9180000</v>
      </c>
      <c r="L38" s="38">
        <f t="shared" si="1"/>
        <v>1101600</v>
      </c>
      <c r="M38" s="38">
        <f t="shared" si="2"/>
        <v>8078400</v>
      </c>
      <c r="O38" s="66">
        <v>8000000</v>
      </c>
      <c r="P38" s="68">
        <f t="shared" si="3"/>
        <v>7207207.2072072076</v>
      </c>
    </row>
    <row r="39" spans="1:16" ht="15" customHeight="1" x14ac:dyDescent="0.2">
      <c r="A39" s="30"/>
      <c r="B39" s="35" t="s">
        <v>28</v>
      </c>
      <c r="C39" s="36"/>
      <c r="D39" s="32"/>
      <c r="E39" s="62"/>
      <c r="F39" s="30"/>
      <c r="G39" s="37"/>
      <c r="H39" s="34"/>
      <c r="K39" s="29"/>
      <c r="L39" s="38">
        <f t="shared" si="1"/>
        <v>0</v>
      </c>
      <c r="M39" s="38">
        <f t="shared" si="2"/>
        <v>0</v>
      </c>
      <c r="O39" s="66"/>
      <c r="P39" s="68">
        <f t="shared" si="3"/>
        <v>0</v>
      </c>
    </row>
    <row r="40" spans="1:16" ht="15" customHeight="1" x14ac:dyDescent="0.2">
      <c r="A40" s="30"/>
      <c r="B40" s="35" t="s">
        <v>29</v>
      </c>
      <c r="C40" s="36"/>
      <c r="D40" s="32"/>
      <c r="E40" s="62"/>
      <c r="F40" s="30"/>
      <c r="G40" s="37"/>
      <c r="H40" s="34"/>
      <c r="K40" s="29"/>
      <c r="L40" s="38">
        <f t="shared" si="1"/>
        <v>0</v>
      </c>
      <c r="M40" s="38">
        <f t="shared" si="2"/>
        <v>0</v>
      </c>
      <c r="O40" s="66"/>
      <c r="P40" s="68">
        <f t="shared" si="3"/>
        <v>0</v>
      </c>
    </row>
    <row r="41" spans="1:16" ht="15" customHeight="1" x14ac:dyDescent="0.2">
      <c r="A41" s="39" t="s">
        <v>72</v>
      </c>
      <c r="B41" s="35" t="s">
        <v>92</v>
      </c>
      <c r="C41" s="36"/>
      <c r="D41" s="32"/>
      <c r="E41" s="62">
        <v>1</v>
      </c>
      <c r="F41" s="30" t="s">
        <v>41</v>
      </c>
      <c r="G41" s="37">
        <v>4350000</v>
      </c>
      <c r="H41" s="34">
        <f t="shared" si="0"/>
        <v>4350000</v>
      </c>
      <c r="K41" s="29">
        <v>5500000</v>
      </c>
      <c r="L41" s="38">
        <f t="shared" si="1"/>
        <v>660000</v>
      </c>
      <c r="M41" s="38">
        <f t="shared" si="2"/>
        <v>4840000</v>
      </c>
      <c r="O41" s="66">
        <v>4850000</v>
      </c>
      <c r="P41" s="68">
        <f t="shared" si="3"/>
        <v>4369369.369369369</v>
      </c>
    </row>
    <row r="42" spans="1:16" ht="15" customHeight="1" x14ac:dyDescent="0.2">
      <c r="A42" s="30"/>
      <c r="B42" s="35" t="s">
        <v>30</v>
      </c>
      <c r="C42" s="36"/>
      <c r="D42" s="32"/>
      <c r="E42" s="62"/>
      <c r="F42" s="35"/>
      <c r="G42" s="37"/>
      <c r="H42" s="34"/>
      <c r="K42" s="29"/>
      <c r="L42" s="38">
        <f t="shared" si="1"/>
        <v>0</v>
      </c>
      <c r="M42" s="38">
        <f t="shared" si="2"/>
        <v>0</v>
      </c>
      <c r="O42" s="66"/>
      <c r="P42" s="68">
        <f t="shared" si="3"/>
        <v>0</v>
      </c>
    </row>
    <row r="43" spans="1:16" ht="15" customHeight="1" x14ac:dyDescent="0.2">
      <c r="A43" s="30"/>
      <c r="B43" s="35" t="s">
        <v>31</v>
      </c>
      <c r="C43" s="36"/>
      <c r="D43" s="32"/>
      <c r="E43" s="62"/>
      <c r="F43" s="30"/>
      <c r="G43" s="37"/>
      <c r="H43" s="34"/>
      <c r="K43" s="29"/>
      <c r="L43" s="38">
        <f t="shared" si="1"/>
        <v>0</v>
      </c>
      <c r="M43" s="38">
        <f t="shared" si="2"/>
        <v>0</v>
      </c>
      <c r="O43" s="66"/>
      <c r="P43" s="68">
        <f t="shared" si="3"/>
        <v>0</v>
      </c>
    </row>
    <row r="44" spans="1:16" ht="15" customHeight="1" x14ac:dyDescent="0.2">
      <c r="A44" s="30" t="s">
        <v>73</v>
      </c>
      <c r="B44" s="35" t="s">
        <v>81</v>
      </c>
      <c r="C44" s="36"/>
      <c r="D44" s="32"/>
      <c r="E44" s="62">
        <v>6</v>
      </c>
      <c r="F44" s="30" t="s">
        <v>41</v>
      </c>
      <c r="G44" s="37">
        <v>2150000</v>
      </c>
      <c r="H44" s="34">
        <f t="shared" si="0"/>
        <v>12900000</v>
      </c>
      <c r="K44" s="29">
        <v>2750000</v>
      </c>
      <c r="L44" s="38">
        <f t="shared" si="1"/>
        <v>330000</v>
      </c>
      <c r="M44" s="38">
        <f t="shared" si="2"/>
        <v>2420000</v>
      </c>
      <c r="O44" s="66">
        <v>2400000</v>
      </c>
      <c r="P44" s="68">
        <f t="shared" si="3"/>
        <v>2162162.1621621624</v>
      </c>
    </row>
    <row r="45" spans="1:16" ht="15" customHeight="1" x14ac:dyDescent="0.2">
      <c r="A45" s="39"/>
      <c r="B45" s="35" t="s">
        <v>32</v>
      </c>
      <c r="C45" s="36"/>
      <c r="D45" s="32"/>
      <c r="E45" s="62"/>
      <c r="F45" s="35"/>
      <c r="G45" s="37"/>
      <c r="H45" s="34"/>
      <c r="K45" s="29"/>
      <c r="L45" s="38">
        <f t="shared" si="1"/>
        <v>0</v>
      </c>
      <c r="M45" s="38">
        <f t="shared" si="2"/>
        <v>0</v>
      </c>
      <c r="O45" s="66"/>
      <c r="P45" s="68">
        <f t="shared" si="3"/>
        <v>0</v>
      </c>
    </row>
    <row r="46" spans="1:16" ht="15" customHeight="1" x14ac:dyDescent="0.2">
      <c r="A46" s="30" t="s">
        <v>78</v>
      </c>
      <c r="B46" s="35" t="s">
        <v>83</v>
      </c>
      <c r="C46" s="36"/>
      <c r="D46" s="32"/>
      <c r="E46" s="62">
        <v>1</v>
      </c>
      <c r="F46" s="30" t="s">
        <v>41</v>
      </c>
      <c r="G46" s="37">
        <v>2700000</v>
      </c>
      <c r="H46" s="34">
        <f t="shared" si="0"/>
        <v>2700000</v>
      </c>
      <c r="K46" s="29">
        <v>3500000</v>
      </c>
      <c r="L46" s="38">
        <f t="shared" si="1"/>
        <v>420000</v>
      </c>
      <c r="M46" s="38">
        <f t="shared" si="2"/>
        <v>3080000</v>
      </c>
      <c r="O46" s="66">
        <v>3000000</v>
      </c>
      <c r="P46" s="68">
        <f t="shared" si="3"/>
        <v>2702702.702702703</v>
      </c>
    </row>
    <row r="47" spans="1:16" ht="15" customHeight="1" x14ac:dyDescent="0.2">
      <c r="A47" s="39"/>
      <c r="B47" s="35" t="s">
        <v>33</v>
      </c>
      <c r="C47" s="36"/>
      <c r="D47" s="32"/>
      <c r="E47" s="62"/>
      <c r="F47" s="35"/>
      <c r="G47" s="37"/>
      <c r="H47" s="34"/>
      <c r="K47" s="29"/>
      <c r="L47" s="38">
        <f t="shared" si="1"/>
        <v>0</v>
      </c>
      <c r="M47" s="38">
        <f t="shared" si="2"/>
        <v>0</v>
      </c>
      <c r="O47" s="66"/>
      <c r="P47" s="68">
        <f t="shared" si="3"/>
        <v>0</v>
      </c>
    </row>
    <row r="48" spans="1:16" ht="15" customHeight="1" x14ac:dyDescent="0.2">
      <c r="A48" s="30" t="s">
        <v>79</v>
      </c>
      <c r="B48" s="35" t="s">
        <v>82</v>
      </c>
      <c r="C48" s="36"/>
      <c r="D48" s="32"/>
      <c r="E48" s="62">
        <v>1</v>
      </c>
      <c r="F48" s="30" t="s">
        <v>41</v>
      </c>
      <c r="G48" s="37">
        <v>3600000</v>
      </c>
      <c r="H48" s="34">
        <f t="shared" si="0"/>
        <v>3600000</v>
      </c>
      <c r="K48" s="29">
        <v>4600000</v>
      </c>
      <c r="L48" s="38">
        <f t="shared" si="1"/>
        <v>552000</v>
      </c>
      <c r="M48" s="38">
        <f t="shared" si="2"/>
        <v>4048000</v>
      </c>
      <c r="O48" s="66">
        <v>4000000</v>
      </c>
      <c r="P48" s="68">
        <f t="shared" si="3"/>
        <v>3603603.6036036038</v>
      </c>
    </row>
    <row r="49" spans="1:16" ht="15" customHeight="1" x14ac:dyDescent="0.2">
      <c r="A49" s="39"/>
      <c r="B49" s="35" t="s">
        <v>34</v>
      </c>
      <c r="C49" s="36"/>
      <c r="D49" s="32"/>
      <c r="E49" s="62"/>
      <c r="F49" s="35"/>
      <c r="G49" s="37"/>
      <c r="H49" s="34"/>
      <c r="K49" s="29"/>
      <c r="L49" s="38">
        <f t="shared" si="1"/>
        <v>0</v>
      </c>
      <c r="M49" s="38">
        <f t="shared" si="2"/>
        <v>0</v>
      </c>
      <c r="O49" s="66"/>
      <c r="P49" s="68">
        <f t="shared" si="3"/>
        <v>0</v>
      </c>
    </row>
    <row r="50" spans="1:16" ht="15" customHeight="1" x14ac:dyDescent="0.2">
      <c r="A50" s="30" t="s">
        <v>80</v>
      </c>
      <c r="B50" s="35" t="s">
        <v>84</v>
      </c>
      <c r="C50" s="36"/>
      <c r="D50" s="32"/>
      <c r="E50" s="62">
        <v>4</v>
      </c>
      <c r="F50" s="30" t="s">
        <v>41</v>
      </c>
      <c r="G50" s="37">
        <v>1475000</v>
      </c>
      <c r="H50" s="34">
        <f t="shared" si="0"/>
        <v>5900000</v>
      </c>
      <c r="K50" s="29">
        <v>1900000</v>
      </c>
      <c r="L50" s="38">
        <f t="shared" si="1"/>
        <v>228000</v>
      </c>
      <c r="M50" s="38">
        <f t="shared" si="2"/>
        <v>1672000</v>
      </c>
      <c r="O50" s="66">
        <v>1650000</v>
      </c>
      <c r="P50" s="68">
        <f t="shared" si="3"/>
        <v>1486486.4864864864</v>
      </c>
    </row>
    <row r="51" spans="1:16" ht="15" customHeight="1" x14ac:dyDescent="0.2">
      <c r="A51" s="39"/>
      <c r="B51" s="35" t="s">
        <v>35</v>
      </c>
      <c r="C51" s="36"/>
      <c r="D51" s="32"/>
      <c r="E51" s="62"/>
      <c r="F51" s="35"/>
      <c r="G51" s="37"/>
      <c r="H51" s="34"/>
      <c r="K51" s="29"/>
      <c r="L51" s="38">
        <f t="shared" si="1"/>
        <v>0</v>
      </c>
      <c r="M51" s="38">
        <f t="shared" si="2"/>
        <v>0</v>
      </c>
      <c r="O51" s="66"/>
      <c r="P51" s="68">
        <f t="shared" si="3"/>
        <v>0</v>
      </c>
    </row>
    <row r="52" spans="1:16" ht="15" customHeight="1" x14ac:dyDescent="0.2">
      <c r="A52" s="39"/>
      <c r="B52" s="35"/>
      <c r="C52" s="36"/>
      <c r="D52" s="32"/>
      <c r="E52" s="62"/>
      <c r="F52" s="35"/>
      <c r="G52" s="37"/>
      <c r="H52" s="34"/>
      <c r="K52" s="29"/>
      <c r="L52" s="38">
        <f t="shared" si="1"/>
        <v>0</v>
      </c>
      <c r="M52" s="38">
        <f t="shared" si="2"/>
        <v>0</v>
      </c>
      <c r="O52" s="66"/>
      <c r="P52" s="68">
        <f t="shared" si="3"/>
        <v>0</v>
      </c>
    </row>
    <row r="53" spans="1:16" ht="15" customHeight="1" x14ac:dyDescent="0.2">
      <c r="A53" s="41" t="s">
        <v>91</v>
      </c>
      <c r="B53" s="42" t="s">
        <v>65</v>
      </c>
      <c r="C53" s="43"/>
      <c r="D53" s="32"/>
      <c r="E53" s="62"/>
      <c r="F53" s="30"/>
      <c r="G53" s="37"/>
      <c r="H53" s="34"/>
      <c r="K53" s="29"/>
      <c r="L53" s="38">
        <f t="shared" si="1"/>
        <v>0</v>
      </c>
      <c r="M53" s="38">
        <f t="shared" si="2"/>
        <v>0</v>
      </c>
      <c r="O53" s="66"/>
      <c r="P53" s="68">
        <f t="shared" si="3"/>
        <v>0</v>
      </c>
    </row>
    <row r="54" spans="1:16" ht="15" customHeight="1" x14ac:dyDescent="0.2">
      <c r="A54" s="30"/>
      <c r="B54" s="35" t="s">
        <v>15</v>
      </c>
      <c r="C54" s="31"/>
      <c r="D54" s="32"/>
      <c r="E54" s="62"/>
      <c r="F54" s="30"/>
      <c r="G54" s="37"/>
      <c r="H54" s="34"/>
      <c r="K54" s="29"/>
      <c r="L54" s="38">
        <f t="shared" si="1"/>
        <v>0</v>
      </c>
      <c r="M54" s="38">
        <f t="shared" si="2"/>
        <v>0</v>
      </c>
      <c r="O54" s="66"/>
      <c r="P54" s="68">
        <f t="shared" si="3"/>
        <v>0</v>
      </c>
    </row>
    <row r="55" spans="1:16" ht="15" customHeight="1" x14ac:dyDescent="0.2">
      <c r="A55" s="39" t="s">
        <v>71</v>
      </c>
      <c r="B55" s="35" t="s">
        <v>88</v>
      </c>
      <c r="C55" s="36"/>
      <c r="D55" s="32"/>
      <c r="E55" s="62">
        <v>1</v>
      </c>
      <c r="F55" s="30" t="s">
        <v>41</v>
      </c>
      <c r="G55" s="37">
        <f>G38</f>
        <v>7200000</v>
      </c>
      <c r="H55" s="34">
        <f t="shared" si="0"/>
        <v>7200000</v>
      </c>
      <c r="K55" s="29">
        <v>9180000</v>
      </c>
      <c r="L55" s="38">
        <f t="shared" si="1"/>
        <v>1101600</v>
      </c>
      <c r="M55" s="38">
        <f t="shared" si="2"/>
        <v>8078400</v>
      </c>
      <c r="O55" s="66">
        <v>8000000</v>
      </c>
      <c r="P55" s="68">
        <f t="shared" si="3"/>
        <v>7207207.2072072076</v>
      </c>
    </row>
    <row r="56" spans="1:16" ht="15" customHeight="1" x14ac:dyDescent="0.2">
      <c r="A56" s="30"/>
      <c r="B56" s="35" t="s">
        <v>36</v>
      </c>
      <c r="C56" s="36"/>
      <c r="D56" s="32"/>
      <c r="E56" s="62"/>
      <c r="F56" s="35"/>
      <c r="G56" s="37"/>
      <c r="H56" s="34"/>
      <c r="K56" s="29"/>
      <c r="L56" s="38">
        <f t="shared" si="1"/>
        <v>0</v>
      </c>
      <c r="M56" s="38">
        <f t="shared" si="2"/>
        <v>0</v>
      </c>
      <c r="O56" s="66"/>
      <c r="P56" s="68">
        <f t="shared" si="3"/>
        <v>0</v>
      </c>
    </row>
    <row r="57" spans="1:16" ht="15" customHeight="1" x14ac:dyDescent="0.2">
      <c r="A57" s="30"/>
      <c r="B57" s="35" t="s">
        <v>37</v>
      </c>
      <c r="C57" s="36"/>
      <c r="D57" s="32"/>
      <c r="E57" s="62"/>
      <c r="F57" s="30"/>
      <c r="G57" s="37"/>
      <c r="H57" s="34"/>
      <c r="K57" s="29"/>
      <c r="L57" s="38">
        <f t="shared" si="1"/>
        <v>0</v>
      </c>
      <c r="M57" s="38">
        <f t="shared" si="2"/>
        <v>0</v>
      </c>
      <c r="O57" s="66"/>
      <c r="P57" s="68">
        <f t="shared" si="3"/>
        <v>0</v>
      </c>
    </row>
    <row r="58" spans="1:16" ht="15" customHeight="1" x14ac:dyDescent="0.2">
      <c r="A58" s="30" t="s">
        <v>72</v>
      </c>
      <c r="B58" s="35" t="s">
        <v>89</v>
      </c>
      <c r="C58" s="36"/>
      <c r="D58" s="32"/>
      <c r="E58" s="62">
        <v>1</v>
      </c>
      <c r="F58" s="30" t="s">
        <v>41</v>
      </c>
      <c r="G58" s="37">
        <f>G18</f>
        <v>5850000</v>
      </c>
      <c r="H58" s="34">
        <f t="shared" si="0"/>
        <v>5850000</v>
      </c>
      <c r="K58" s="29">
        <v>7400000</v>
      </c>
      <c r="L58" s="38">
        <f t="shared" si="1"/>
        <v>888000</v>
      </c>
      <c r="M58" s="38">
        <f t="shared" si="2"/>
        <v>6512000</v>
      </c>
      <c r="O58" s="66">
        <v>6500000</v>
      </c>
      <c r="P58" s="68">
        <f t="shared" si="3"/>
        <v>5855855.8558558561</v>
      </c>
    </row>
    <row r="59" spans="1:16" ht="15" customHeight="1" x14ac:dyDescent="0.2">
      <c r="A59" s="39"/>
      <c r="B59" s="35" t="s">
        <v>38</v>
      </c>
      <c r="C59" s="36"/>
      <c r="D59" s="32"/>
      <c r="E59" s="62"/>
      <c r="F59" s="35"/>
      <c r="G59" s="37"/>
      <c r="H59" s="34"/>
      <c r="K59" s="29"/>
      <c r="L59" s="38">
        <f t="shared" si="1"/>
        <v>0</v>
      </c>
      <c r="M59" s="38">
        <f t="shared" si="2"/>
        <v>0</v>
      </c>
      <c r="O59" s="66"/>
      <c r="P59" s="68">
        <f t="shared" si="3"/>
        <v>0</v>
      </c>
    </row>
    <row r="60" spans="1:16" ht="15" customHeight="1" x14ac:dyDescent="0.2">
      <c r="A60" s="30"/>
      <c r="B60" s="35" t="s">
        <v>39</v>
      </c>
      <c r="C60" s="36"/>
      <c r="D60" s="32"/>
      <c r="E60" s="62"/>
      <c r="F60" s="35"/>
      <c r="G60" s="37"/>
      <c r="H60" s="34"/>
      <c r="K60" s="29"/>
      <c r="L60" s="38">
        <f t="shared" si="1"/>
        <v>0</v>
      </c>
      <c r="M60" s="38">
        <f t="shared" si="2"/>
        <v>0</v>
      </c>
      <c r="O60" s="66"/>
      <c r="P60" s="68">
        <f t="shared" si="3"/>
        <v>0</v>
      </c>
    </row>
    <row r="61" spans="1:16" ht="15" customHeight="1" x14ac:dyDescent="0.2">
      <c r="A61" s="30" t="s">
        <v>73</v>
      </c>
      <c r="B61" s="35" t="s">
        <v>90</v>
      </c>
      <c r="C61" s="36"/>
      <c r="D61" s="32"/>
      <c r="E61" s="62">
        <v>1</v>
      </c>
      <c r="F61" s="30" t="s">
        <v>41</v>
      </c>
      <c r="G61" s="37">
        <f>G21</f>
        <v>2700000</v>
      </c>
      <c r="H61" s="34">
        <f t="shared" si="0"/>
        <v>2700000</v>
      </c>
      <c r="K61" s="29">
        <v>3500000</v>
      </c>
      <c r="L61" s="38">
        <f t="shared" si="1"/>
        <v>420000</v>
      </c>
      <c r="M61" s="38">
        <f t="shared" si="2"/>
        <v>3080000</v>
      </c>
      <c r="O61" s="66">
        <v>3000000</v>
      </c>
      <c r="P61" s="68">
        <f t="shared" si="3"/>
        <v>2702702.702702703</v>
      </c>
    </row>
    <row r="62" spans="1:16" ht="15" customHeight="1" x14ac:dyDescent="0.2">
      <c r="A62" s="44"/>
      <c r="B62" s="45" t="s">
        <v>40</v>
      </c>
      <c r="C62" s="46"/>
      <c r="D62" s="47"/>
      <c r="E62" s="63"/>
      <c r="F62" s="44"/>
      <c r="G62" s="48"/>
      <c r="H62" s="49"/>
      <c r="K62" s="29"/>
      <c r="L62" s="38">
        <f t="shared" ref="L62" si="4">K62*10%</f>
        <v>0</v>
      </c>
      <c r="P62" s="68">
        <f t="shared" si="3"/>
        <v>0</v>
      </c>
    </row>
    <row r="63" spans="1:16" s="54" customFormat="1" ht="15" customHeight="1" x14ac:dyDescent="0.2">
      <c r="A63" s="50"/>
      <c r="B63" s="51"/>
      <c r="C63" s="51"/>
      <c r="D63" s="51"/>
      <c r="E63" s="65"/>
      <c r="F63" s="50" t="s">
        <v>11</v>
      </c>
      <c r="G63" s="52"/>
      <c r="H63" s="53">
        <f>SUM(H18:H61)</f>
        <v>108500000</v>
      </c>
      <c r="K63" s="55"/>
      <c r="P63" s="68">
        <f t="shared" si="3"/>
        <v>0</v>
      </c>
    </row>
    <row r="64" spans="1:16" s="54" customFormat="1" ht="15" customHeight="1" x14ac:dyDescent="0.2">
      <c r="A64" s="50"/>
      <c r="B64" s="51"/>
      <c r="C64" s="51"/>
      <c r="D64" s="51"/>
      <c r="E64" s="65"/>
      <c r="F64" s="50" t="s">
        <v>12</v>
      </c>
      <c r="G64" s="52"/>
      <c r="H64" s="53">
        <f>11%*H63</f>
        <v>11935000</v>
      </c>
      <c r="K64" s="55"/>
      <c r="P64" s="70"/>
    </row>
    <row r="65" spans="1:16" s="54" customFormat="1" ht="15" customHeight="1" x14ac:dyDescent="0.2">
      <c r="A65" s="50"/>
      <c r="B65" s="51"/>
      <c r="C65" s="51"/>
      <c r="D65" s="51"/>
      <c r="E65" s="65"/>
      <c r="F65" s="50" t="s">
        <v>66</v>
      </c>
      <c r="G65" s="52"/>
      <c r="H65" s="53">
        <f>SUM(H63:H64)</f>
        <v>120435000</v>
      </c>
      <c r="K65" s="55"/>
      <c r="P65" s="70"/>
    </row>
    <row r="67" spans="1:16" ht="15" customHeight="1" x14ac:dyDescent="0.2">
      <c r="A67" s="3" t="s">
        <v>43</v>
      </c>
      <c r="B67" s="3"/>
      <c r="C67" s="3"/>
      <c r="D67" s="3"/>
      <c r="F67" s="3"/>
      <c r="G67" s="10"/>
      <c r="H67" s="10"/>
    </row>
    <row r="69" spans="1:16" ht="15" customHeight="1" x14ac:dyDescent="0.2">
      <c r="F69" s="1" t="s">
        <v>44</v>
      </c>
    </row>
    <row r="71" spans="1:16" ht="15" customHeight="1" x14ac:dyDescent="0.2">
      <c r="A71" s="57"/>
      <c r="B71" s="57"/>
    </row>
    <row r="72" spans="1:16" ht="15" customHeight="1" x14ac:dyDescent="0.2">
      <c r="A72" s="57"/>
      <c r="B72" s="57"/>
      <c r="F72" s="3" t="s">
        <v>67</v>
      </c>
      <c r="G72" s="10"/>
    </row>
    <row r="73" spans="1:16" ht="15" customHeight="1" x14ac:dyDescent="0.2">
      <c r="A73" s="57"/>
      <c r="B73" s="57"/>
      <c r="F73" s="2" t="s">
        <v>68</v>
      </c>
      <c r="G73" s="11"/>
    </row>
    <row r="74" spans="1:16" ht="15" customHeight="1" x14ac:dyDescent="0.2">
      <c r="A74" s="57"/>
      <c r="B74" s="57"/>
      <c r="F74" s="2"/>
      <c r="G74" s="11"/>
    </row>
    <row r="75" spans="1:16" ht="15" customHeight="1" x14ac:dyDescent="0.2">
      <c r="F75" s="3"/>
      <c r="G75" s="10"/>
    </row>
    <row r="76" spans="1:16" ht="15" customHeight="1" x14ac:dyDescent="0.2">
      <c r="F76" s="3"/>
      <c r="G76" s="10"/>
    </row>
    <row r="77" spans="1:16" ht="15" customHeight="1" x14ac:dyDescent="0.2">
      <c r="F77" s="3"/>
      <c r="G77" s="10"/>
    </row>
    <row r="78" spans="1:16" ht="15" customHeight="1" x14ac:dyDescent="0.2">
      <c r="A78" s="57"/>
      <c r="B78" s="57"/>
      <c r="F78" s="3" t="s">
        <v>69</v>
      </c>
      <c r="G78" s="10"/>
    </row>
  </sheetData>
  <mergeCells count="1">
    <mergeCell ref="A1:H1"/>
  </mergeCells>
  <pageMargins left="0.70866141732283472" right="0.70866141732283472" top="0.94488188976377963" bottom="2.1259842519685042" header="0.31496062992125984" footer="0.31496062992125984"/>
  <pageSetup paperSize="5" scale="90" orientation="portrait" horizontalDpi="0" verticalDpi="0" r:id="rId1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HPS</vt:lpstr>
      <vt:lpstr>HPS!Print_Area</vt:lpstr>
    </vt:vector>
  </TitlesOfParts>
  <Company>TATA USAHA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NURYANTO, S.E</dc:creator>
  <cp:lastModifiedBy>DELL</cp:lastModifiedBy>
  <cp:lastPrinted>2026-07-22T08:45:40Z</cp:lastPrinted>
  <dcterms:created xsi:type="dcterms:W3CDTF">2025-02-07T02:21:26Z</dcterms:created>
  <dcterms:modified xsi:type="dcterms:W3CDTF">2026-07-22T08:45:49Z</dcterms:modified>
</cp:coreProperties>
</file>